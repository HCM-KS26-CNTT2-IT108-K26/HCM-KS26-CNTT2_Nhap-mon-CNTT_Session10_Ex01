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Bảng tổng hợ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<sst xmlns="http://schemas.openxmlformats.org/spreadsheetml/2006/main" count="76" uniqueCount="49">
  <si>
    <t>BẢNG TỔNG HỢP CHI PHÍ TỪ ĐỐI TÁC NGÂN HÀNG (THÁNG 05/2024)</t>
  </si>
  <si>
    <t>Column1</t>
  </si>
  <si>
    <t>Tên người dùng</t>
  </si>
  <si>
    <t>Ngân hàng đối tác</t>
  </si>
  <si>
    <t>Mã đối tác</t>
  </si>
  <si>
    <t>Số giao dịch</t>
  </si>
  <si>
    <t>Doanh số (VND)</t>
  </si>
  <si>
    <t>Phí cố định (VND)</t>
  </si>
  <si>
    <t>Tỷ lệ phí (%)</t>
  </si>
  <si>
    <t>Phí biến đổi (VND)</t>
  </si>
  <si>
    <t>Tổng phí (VND)</t>
  </si>
  <si>
    <t>Trần Văn A</t>
  </si>
  <si>
    <t>Vietcombank</t>
  </si>
  <si>
    <t>VCB</t>
  </si>
  <si>
    <t>Dương Văn B</t>
  </si>
  <si>
    <t>BIDV</t>
  </si>
  <si>
    <t>Nguyễn Phú C</t>
  </si>
  <si>
    <t>VietinBank</t>
  </si>
  <si>
    <t>CTG</t>
  </si>
  <si>
    <t>Phan Hồng D</t>
  </si>
  <si>
    <t>TECHCOMBANK</t>
  </si>
  <si>
    <t>TCB</t>
  </si>
  <si>
    <t>Lê Nguyễn E</t>
  </si>
  <si>
    <t>MB BANK</t>
  </si>
  <si>
    <t>MBB</t>
  </si>
  <si>
    <t>Nguyễn Duy K</t>
  </si>
  <si>
    <t>ACB</t>
  </si>
  <si>
    <t>Trần Minh Tâm</t>
  </si>
  <si>
    <t>VP BANK</t>
  </si>
  <si>
    <t>VPB</t>
  </si>
  <si>
    <t>Vũ Văn B</t>
  </si>
  <si>
    <t>TPBANK</t>
  </si>
  <si>
    <t>TPB</t>
  </si>
  <si>
    <t>Nguyễn Trọng Nhân</t>
  </si>
  <si>
    <t>OCB</t>
  </si>
  <si>
    <t>Phạm Thúy Kiều</t>
  </si>
  <si>
    <t>SHB</t>
  </si>
  <si>
    <t>STT</t>
  </si>
  <si>
    <t>Mã người dùng</t>
  </si>
  <si>
    <t>User01</t>
  </si>
  <si>
    <t>User02</t>
  </si>
  <si>
    <t>User03</t>
  </si>
  <si>
    <t>User04</t>
  </si>
  <si>
    <t>User05</t>
  </si>
  <si>
    <t>User06</t>
  </si>
  <si>
    <t>User07</t>
  </si>
  <si>
    <t>User08</t>
  </si>
  <si>
    <t>User09</t>
  </si>
  <si>
    <t>User10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</si>
</sst>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6">
    <font>
      <sz val="11"/>
      <color theme="1"/>
      <name val="Calibri"/>
      <charset val="134"/>
      <scheme val="minor"/>
    </font>
    <font>
      <b/>
      <sz val="14"/>
      <color rgb="FF1F4E78"/>
      <name val="Calibri"/>
      <charset val="134"/>
      <scheme val="minor"/>
    </font>
    <font>
      <b/>
      <sz val="11"/>
      <color rgb="FFFFFFFF"/>
      <name val="Calibri"/>
      <charset val="134"/>
    </font>
    <font>
      <sz val="11"/>
      <name val="Calibri"/>
      <charset val="134"/>
    </font>
    <font>
      <sz val="1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abSelected="1" workbookViewId="0">
      <selection activeCell="E18" sqref="E18"/>
    </sheetView>
  </sheetViews>
  <sheetFormatPr defaultColWidth="9" defaultRowHeight="14.4"/>
  <cols>
    <col min="1" max="1" width="12" customWidth="1"/>
    <col min="2" max="4" width="20" customWidth="1"/>
    <col min="5" max="5" width="15" customWidth="1"/>
    <col min="6" max="6" width="17" customWidth="1"/>
    <col min="7" max="7" width="20" customWidth="1"/>
    <col min="8" max="8" width="16" customWidth="1"/>
    <col min="9" max="9" width="21" customWidth="1"/>
    <col min="10" max="10" width="17" customWidth="1"/>
  </cols>
  <sheetData>
    <row r="1" ht="18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s="3">
        <v>1</v>
      </c>
      <c r="B3" s="4" t="s">
        <v>11</v>
      </c>
      <c r="C3" s="5" t="s">
        <v>12</v>
      </c>
      <c r="D3" s="3" t="s">
        <v>13</v>
      </c>
      <c r="E3" s="6">
        <v>128345</v>
      </c>
      <c r="F3" s="6">
        <v>25364580000</v>
      </c>
      <c r="G3" s="6">
        <v>1000</v>
      </c>
      <c r="H3" s="7">
        <v>0.0008</v>
      </c>
      <c r="I3" s="6">
        <f t="shared" ref="I3:I12" si="0">F3*H3</f>
        <v>20291664</v>
      </c>
      <c r="J3" s="6">
        <f t="shared" ref="J3:J12" si="1">G3+I3</f>
        <v>20292664</v>
      </c>
    </row>
    <row r="4" spans="1:10">
      <c r="A4" s="3">
        <v>2</v>
      </c>
      <c r="B4" s="4" t="s">
        <v>14</v>
      </c>
      <c r="C4" s="5" t="s">
        <v>15</v>
      </c>
      <c r="D4" s="3" t="s">
        <v>15</v>
      </c>
      <c r="E4" s="6">
        <v>96732</v>
      </c>
      <c r="F4" s="6">
        <v>18245760000</v>
      </c>
      <c r="G4" s="6">
        <v>1000</v>
      </c>
      <c r="H4" s="7">
        <v>0.0008</v>
      </c>
      <c r="I4" s="6">
        <f t="shared" si="0"/>
        <v>14596608</v>
      </c>
      <c r="J4" s="6">
        <f t="shared" si="1"/>
        <v>14597608</v>
      </c>
    </row>
    <row r="5" spans="1:10">
      <c r="A5" s="3">
        <v>3</v>
      </c>
      <c r="B5" s="4" t="s">
        <v>16</v>
      </c>
      <c r="C5" s="5" t="s">
        <v>17</v>
      </c>
      <c r="D5" s="3" t="s">
        <v>18</v>
      </c>
      <c r="E5" s="6">
        <v>87531</v>
      </c>
      <c r="F5" s="6">
        <v>16834210000</v>
      </c>
      <c r="G5" s="6">
        <v>1000</v>
      </c>
      <c r="H5" s="7">
        <v>0.0007</v>
      </c>
      <c r="I5" s="6">
        <f t="shared" si="0"/>
        <v>11783947</v>
      </c>
      <c r="J5" s="6">
        <f t="shared" si="1"/>
        <v>11784947</v>
      </c>
    </row>
    <row r="6" spans="1:10">
      <c r="A6" s="3">
        <v>4</v>
      </c>
      <c r="B6" s="4" t="s">
        <v>19</v>
      </c>
      <c r="C6" s="5" t="s">
        <v>20</v>
      </c>
      <c r="D6" s="3" t="s">
        <v>21</v>
      </c>
      <c r="E6" s="6">
        <v>74113</v>
      </c>
      <c r="F6" s="6">
        <v>14102330000</v>
      </c>
      <c r="G6" s="6">
        <v>1000</v>
      </c>
      <c r="H6" s="7">
        <v>0.0007</v>
      </c>
      <c r="I6" s="6">
        <f t="shared" si="0"/>
        <v>9871631</v>
      </c>
      <c r="J6" s="6">
        <f t="shared" si="1"/>
        <v>9872631</v>
      </c>
    </row>
    <row r="7" spans="1:10">
      <c r="A7" s="3">
        <v>5</v>
      </c>
      <c r="B7" s="4" t="s">
        <v>22</v>
      </c>
      <c r="C7" s="5" t="s">
        <v>23</v>
      </c>
      <c r="D7" s="3" t="s">
        <v>24</v>
      </c>
      <c r="E7" s="6">
        <v>63921</v>
      </c>
      <c r="F7" s="6">
        <v>12009880000</v>
      </c>
      <c r="G7" s="6">
        <v>1000</v>
      </c>
      <c r="H7" s="7">
        <v>0.0008</v>
      </c>
      <c r="I7" s="6">
        <f t="shared" si="0"/>
        <v>9607904</v>
      </c>
      <c r="J7" s="6">
        <f t="shared" si="1"/>
        <v>9608904</v>
      </c>
    </row>
    <row r="8" spans="1:10">
      <c r="A8" s="3">
        <v>6</v>
      </c>
      <c r="B8" s="4" t="s">
        <v>25</v>
      </c>
      <c r="C8" s="5" t="s">
        <v>26</v>
      </c>
      <c r="D8" s="3" t="s">
        <v>26</v>
      </c>
      <c r="E8" s="6">
        <v>52448</v>
      </c>
      <c r="F8" s="6">
        <v>9455230000</v>
      </c>
      <c r="G8" s="6">
        <v>1000</v>
      </c>
      <c r="H8" s="7">
        <v>0.0008</v>
      </c>
      <c r="I8" s="6">
        <f t="shared" si="0"/>
        <v>7564184</v>
      </c>
      <c r="J8" s="6">
        <f t="shared" si="1"/>
        <v>7565184</v>
      </c>
    </row>
    <row r="9" spans="1:10">
      <c r="A9" s="3">
        <v>7</v>
      </c>
      <c r="B9" s="4" t="s">
        <v>27</v>
      </c>
      <c r="C9" s="5" t="s">
        <v>28</v>
      </c>
      <c r="D9" s="3" t="s">
        <v>29</v>
      </c>
      <c r="E9" s="6">
        <v>49302</v>
      </c>
      <c r="F9" s="6">
        <v>8921450000</v>
      </c>
      <c r="G9" s="6">
        <v>1000</v>
      </c>
      <c r="H9" s="7">
        <v>0.0008</v>
      </c>
      <c r="I9" s="6">
        <f t="shared" si="0"/>
        <v>7137160</v>
      </c>
      <c r="J9" s="6">
        <f t="shared" si="1"/>
        <v>7138160</v>
      </c>
    </row>
    <row r="10" spans="1:10">
      <c r="A10" s="3">
        <v>8</v>
      </c>
      <c r="B10" s="4" t="s">
        <v>30</v>
      </c>
      <c r="C10" s="5" t="s">
        <v>31</v>
      </c>
      <c r="D10" s="3" t="s">
        <v>32</v>
      </c>
      <c r="E10" s="6">
        <v>38654</v>
      </c>
      <c r="F10" s="6">
        <v>6784120000</v>
      </c>
      <c r="G10" s="6">
        <v>1000</v>
      </c>
      <c r="H10" s="7">
        <v>0.0008</v>
      </c>
      <c r="I10" s="6">
        <f t="shared" si="0"/>
        <v>5427296</v>
      </c>
      <c r="J10" s="6">
        <f t="shared" si="1"/>
        <v>5428296</v>
      </c>
    </row>
    <row r="11" spans="1:10">
      <c r="A11" s="3">
        <v>9</v>
      </c>
      <c r="B11" s="4" t="s">
        <v>33</v>
      </c>
      <c r="C11" s="5" t="s">
        <v>34</v>
      </c>
      <c r="D11" s="3" t="s">
        <v>34</v>
      </c>
      <c r="E11" s="6">
        <v>27832</v>
      </c>
      <c r="F11" s="6">
        <v>4982630000</v>
      </c>
      <c r="G11" s="6">
        <v>1000</v>
      </c>
      <c r="H11" s="7">
        <v>0.0008</v>
      </c>
      <c r="I11" s="6">
        <f t="shared" si="0"/>
        <v>3986104</v>
      </c>
      <c r="J11" s="6">
        <f t="shared" si="1"/>
        <v>3987104</v>
      </c>
    </row>
    <row r="12" spans="1:10">
      <c r="A12" s="3">
        <v>10</v>
      </c>
      <c r="B12" s="4" t="s">
        <v>35</v>
      </c>
      <c r="C12" s="5" t="s">
        <v>36</v>
      </c>
      <c r="D12" s="3" t="s">
        <v>36</v>
      </c>
      <c r="E12" s="6">
        <v>22145</v>
      </c>
      <c r="F12" s="6">
        <v>3765230000</v>
      </c>
      <c r="G12" s="6">
        <v>1000</v>
      </c>
      <c r="H12" s="7">
        <v>0.0008</v>
      </c>
      <c r="I12" s="6">
        <f t="shared" si="0"/>
        <v>3012184</v>
      </c>
      <c r="J12" s="6">
        <f t="shared" si="1"/>
        <v>3013184</v>
      </c>
    </row>
    <row r="17" spans="1:5">
      <c r="A17" s="8" t="s">
        <v>37</v>
      </c>
      <c r="B17" s="8" t="s">
        <v>3</v>
      </c>
      <c r="C17" s="8" t="s">
        <v>38</v>
      </c>
      <c r="D17" s="8" t="s">
        <v>2</v>
      </c>
      <c r="E17" s="8" t="s">
        <v>5</v>
      </c>
    </row>
    <row r="18" spans="1:5">
      <c r="A18" s="3">
        <v>1</v>
      </c>
      <c r="B18" s="5" t="s">
        <v>12</v>
      </c>
      <c r="C18" s="3" t="s">
        <v>39</v>
      </c>
      <c r="D18" s="5" t="s">
        <v>11</v>
      </c>
      <c r="E18" s="6">
        <f>VLOOKUP((D18),$B$1:$J$12,4,FALSE)</f>
        <v>128345</v>
      </c>
    </row>
    <row r="19" spans="1:5">
      <c r="A19" s="3">
        <v>2</v>
      </c>
      <c r="B19" s="5" t="s">
        <v>15</v>
      </c>
      <c r="C19" s="3" t="s">
        <v>40</v>
      </c>
      <c r="D19" s="5" t="s">
        <v>14</v>
      </c>
      <c r="E19" s="6">
        <f t="shared" ref="E19:E27" si="2">VLOOKUP((D19),$B$1:$J$12,4,FALSE)</f>
        <v>96732</v>
      </c>
    </row>
    <row r="20" spans="1:5">
      <c r="A20" s="3">
        <v>3</v>
      </c>
      <c r="B20" s="5" t="s">
        <v>17</v>
      </c>
      <c r="C20" s="3" t="s">
        <v>41</v>
      </c>
      <c r="D20" s="5" t="s">
        <v>16</v>
      </c>
      <c r="E20" s="6">
        <f t="shared" si="2"/>
        <v>87531</v>
      </c>
    </row>
    <row r="21" spans="1:5">
      <c r="A21" s="3">
        <v>4</v>
      </c>
      <c r="B21" s="5" t="s">
        <v>20</v>
      </c>
      <c r="C21" s="3" t="s">
        <v>42</v>
      </c>
      <c r="D21" s="5" t="s">
        <v>19</v>
      </c>
      <c r="E21" s="6">
        <f t="shared" si="2"/>
        <v>74113</v>
      </c>
    </row>
    <row r="22" spans="1:5">
      <c r="A22" s="3">
        <v>5</v>
      </c>
      <c r="B22" s="5" t="s">
        <v>23</v>
      </c>
      <c r="C22" s="3" t="s">
        <v>43</v>
      </c>
      <c r="D22" s="5" t="s">
        <v>22</v>
      </c>
      <c r="E22" s="6">
        <f t="shared" si="2"/>
        <v>63921</v>
      </c>
    </row>
    <row r="23" spans="1:5">
      <c r="A23" s="3">
        <v>6</v>
      </c>
      <c r="B23" s="5" t="s">
        <v>26</v>
      </c>
      <c r="C23" s="3" t="s">
        <v>44</v>
      </c>
      <c r="D23" s="5" t="s">
        <v>25</v>
      </c>
      <c r="E23" s="6">
        <f t="shared" si="2"/>
        <v>52448</v>
      </c>
    </row>
    <row r="24" spans="1:5">
      <c r="A24" s="3">
        <v>7</v>
      </c>
      <c r="B24" s="5" t="s">
        <v>28</v>
      </c>
      <c r="C24" s="3" t="s">
        <v>45</v>
      </c>
      <c r="D24" s="5" t="s">
        <v>27</v>
      </c>
      <c r="E24" s="6">
        <f t="shared" si="2"/>
        <v>49302</v>
      </c>
    </row>
    <row r="25" spans="1:5">
      <c r="A25" s="3">
        <v>8</v>
      </c>
      <c r="B25" s="5" t="s">
        <v>31</v>
      </c>
      <c r="C25" s="3" t="s">
        <v>46</v>
      </c>
      <c r="D25" s="5" t="s">
        <v>30</v>
      </c>
      <c r="E25" s="6">
        <f t="shared" si="2"/>
        <v>38654</v>
      </c>
    </row>
    <row r="26" spans="1:5">
      <c r="A26" s="3">
        <v>9</v>
      </c>
      <c r="B26" s="5" t="s">
        <v>34</v>
      </c>
      <c r="C26" s="3" t="s">
        <v>47</v>
      </c>
      <c r="D26" s="5" t="s">
        <v>33</v>
      </c>
      <c r="E26" s="6">
        <f t="shared" si="2"/>
        <v>27832</v>
      </c>
    </row>
    <row r="27" spans="1:5">
      <c r="A27" s="3">
        <v>10</v>
      </c>
      <c r="B27" s="5" t="s">
        <v>36</v>
      </c>
      <c r="C27" s="3" t="s">
        <v>48</v>
      </c>
      <c r="D27" s="5" t="s">
        <v>35</v>
      </c>
      <c r="E27" s="6">
        <f t="shared" si="2"/>
        <v>22145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Bảng tổng hợp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Trọng Nhân</cp:lastModifiedBy>
  <dcterms:created xsi:type="dcterms:W3CDTF">2026-10-26T18:18:00Z</dcterms:created>
  <dcterms:modified xsi:type="dcterms:W3CDTF">2026-10-26T18:30:02Z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50086F1F1753413490A72C5DD980E2D6_12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